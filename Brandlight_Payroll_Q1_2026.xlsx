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יכום לפי תקופה" sheetId="1" state="visible" r:id="rId3"/>
    <sheet name="עלות לפי עובד" sheetId="2" state="visible" r:id="rId4"/>
    <sheet name="סיכום עובד רבעוני" sheetId="3" state="visible" r:id="rId5"/>
    <sheet name="פקודת יומן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<sst xmlns="http://schemas.openxmlformats.org/spreadsheetml/2006/main" count="446" uniqueCount="97">
  <si>
    <t xml:space="preserve">BRANDLIGHT INC. - Payroll Invoice Summary Q1 2026</t>
  </si>
  <si>
    <t xml:space="preserve">Pay Date</t>
  </si>
  <si>
    <t xml:space="preserve">Invoice #</t>
  </si>
  <si>
    <t xml:space="preserve">Gross Wages</t>
  </si>
  <si>
    <t xml:space="preserve">Expense
Reimbursement</t>
  </si>
  <si>
    <t xml:space="preserve">Employer Fed
&amp; State Taxes</t>
  </si>
  <si>
    <t xml:space="preserve">Workers
Compensation</t>
  </si>
  <si>
    <t xml:space="preserve">Employee
Benefits</t>
  </si>
  <si>
    <t xml:space="preserve">Administrative
Fee</t>
  </si>
  <si>
    <t xml:space="preserve">401(k) ER
Contribution</t>
  </si>
  <si>
    <t xml:space="preserve">401(k)
Establishment Fee</t>
  </si>
  <si>
    <t xml:space="preserve">Total Invoice</t>
  </si>
  <si>
    <t xml:space="preserve">Bank Debit Verification</t>
  </si>
  <si>
    <t xml:space="preserve">800000</t>
  </si>
  <si>
    <t xml:space="preserve">800001</t>
  </si>
  <si>
    <t xml:space="preserve">800002</t>
  </si>
  <si>
    <t xml:space="preserve">800003</t>
  </si>
  <si>
    <t xml:space="preserve">800004</t>
  </si>
  <si>
    <t xml:space="preserve">800005</t>
  </si>
  <si>
    <t xml:space="preserve">?</t>
  </si>
  <si>
    <t xml:space="preserve">540001</t>
  </si>
  <si>
    <t xml:space="preserve">01/15/2026</t>
  </si>
  <si>
    <t xml:space="preserve">1527890</t>
  </si>
  <si>
    <t xml:space="preserve">01/30/2026</t>
  </si>
  <si>
    <t xml:space="preserve">1538121</t>
  </si>
  <si>
    <t xml:space="preserve">02/13/2026</t>
  </si>
  <si>
    <t xml:space="preserve">1549148</t>
  </si>
  <si>
    <t xml:space="preserve">02/27/2026</t>
  </si>
  <si>
    <t xml:space="preserve">1558808</t>
  </si>
  <si>
    <t xml:space="preserve">03/13/2026</t>
  </si>
  <si>
    <t xml:space="preserve">1570262</t>
  </si>
  <si>
    <t xml:space="preserve">03/31/2026</t>
  </si>
  <si>
    <t xml:space="preserve">1581709</t>
  </si>
  <si>
    <t xml:space="preserve">TOTAL Q1</t>
  </si>
  <si>
    <t xml:space="preserve">BRANDLIGHT INC. - עלות כוללת לפי עובד לפי תקופת שכר</t>
  </si>
  <si>
    <t xml:space="preserve">Employee ID</t>
  </si>
  <si>
    <t xml:space="preserve">Employee Name</t>
  </si>
  <si>
    <t xml:space="preserve">Gross Pay + Expenses ($)</t>
  </si>
  <si>
    <t xml:space="preserve">Employer Costs ($)</t>
  </si>
  <si>
    <t xml:space="preserve">Total Employee Cost ($)</t>
  </si>
  <si>
    <t xml:space="preserve">Verification</t>
  </si>
  <si>
    <t xml:space="preserve">K04773</t>
  </si>
  <si>
    <t xml:space="preserve">Geri, Zoe A</t>
  </si>
  <si>
    <t xml:space="preserve">L44398</t>
  </si>
  <si>
    <t xml:space="preserve">Mitrovic, Darko</t>
  </si>
  <si>
    <t xml:space="preserve">W35599</t>
  </si>
  <si>
    <t xml:space="preserve">Nelson, Cory M</t>
  </si>
  <si>
    <t xml:space="preserve">X46952</t>
  </si>
  <si>
    <t xml:space="preserve">Patel, Nehal</t>
  </si>
  <si>
    <t xml:space="preserve">V35598</t>
  </si>
  <si>
    <t xml:space="preserve">Riker, Andrew B</t>
  </si>
  <si>
    <t xml:space="preserve">R08210</t>
  </si>
  <si>
    <t xml:space="preserve">Starr, Jennifer</t>
  </si>
  <si>
    <t xml:space="preserve">סה"כ תקופה</t>
  </si>
  <si>
    <t xml:space="preserve">K34920</t>
  </si>
  <si>
    <t xml:space="preserve">Wogan, Deborah</t>
  </si>
  <si>
    <t xml:space="preserve">D42665</t>
  </si>
  <si>
    <t xml:space="preserve">Gironi, Riccardo</t>
  </si>
  <si>
    <t xml:space="preserve">BRANDLIGHT INC. - סיכום עלות כוללת לפי עובד Q1 2026</t>
  </si>
  <si>
    <t xml:space="preserve">Total Gross Pay ($)</t>
  </si>
  <si>
    <t xml:space="preserve">Total Employer Costs ($)</t>
  </si>
  <si>
    <t xml:space="preserve">Total Cost ($)</t>
  </si>
  <si>
    <t xml:space="preserve">סה"כ כל העובדים</t>
  </si>
  <si>
    <t xml:space="preserve">סה"כ חשבוניות Q1:</t>
  </si>
  <si>
    <t xml:space="preserve">BRANDLIGHT INC. - פקודת יומן שכר Q1 2026 | טווח: SALARIES</t>
  </si>
  <si>
    <t xml:space="preserve">תאריך</t>
  </si>
  <si>
    <t xml:space="preserve">חשבון חובה 1</t>
  </si>
  <si>
    <t xml:space="preserve">חשבון זכות 1</t>
  </si>
  <si>
    <t xml:space="preserve">חשבון זכות 2</t>
  </si>
  <si>
    <t xml:space="preserve">פרטים</t>
  </si>
  <si>
    <t xml:space="preserve">אסמכתא</t>
  </si>
  <si>
    <t xml:space="preserve">חובה מט"ח</t>
  </si>
  <si>
    <t xml:space="preserve">זכות מט"ח</t>
  </si>
  <si>
    <t xml:space="preserve">מעמ-סכום זכות 2</t>
  </si>
  <si>
    <t xml:space="preserve">15/01/2026</t>
  </si>
  <si>
    <t xml:space="preserve">Expense Reimbursement</t>
  </si>
  <si>
    <t xml:space="preserve">Employer Federal &amp; State Taxes</t>
  </si>
  <si>
    <t xml:space="preserve">Workers Compensation</t>
  </si>
  <si>
    <t xml:space="preserve">Employee Benefits</t>
  </si>
  <si>
    <t xml:space="preserve">Administrative Fee</t>
  </si>
  <si>
    <t xml:space="preserve">800006</t>
  </si>
  <si>
    <t xml:space="preserve">401(k) ER Contribution</t>
  </si>
  <si>
    <t xml:space="preserve">800007</t>
  </si>
  <si>
    <t xml:space="preserve">401(k) Establishment Fee</t>
  </si>
  <si>
    <t xml:space="preserve">סה"כ חשבונית 1527890</t>
  </si>
  <si>
    <t xml:space="preserve">30/01/2026</t>
  </si>
  <si>
    <t xml:space="preserve">סה"כ חשבונית 1538121</t>
  </si>
  <si>
    <t xml:space="preserve">13/02/2026</t>
  </si>
  <si>
    <t xml:space="preserve">סה"כ חשבונית 1549148</t>
  </si>
  <si>
    <t xml:space="preserve">27/02/2026</t>
  </si>
  <si>
    <t xml:space="preserve">סה"כ חשבונית 1558808</t>
  </si>
  <si>
    <t xml:space="preserve">13/03/2026</t>
  </si>
  <si>
    <t xml:space="preserve">סה"כ חשבונית 1570262</t>
  </si>
  <si>
    <t xml:space="preserve">31/03/2026</t>
  </si>
  <si>
    <t xml:space="preserve">סה"כ חשבונית 1581709</t>
  </si>
  <si>
    <t xml:space="preserve">סה"כ Q1 2026 - SALARIES</t>
  </si>
  <si>
    <t xml:space="preserve">אימות: חובה = זכות?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</si>
</sst>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B4C6E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4"/>
    <col collapsed="false" customWidth="true" hidden="false" outlineLevel="0" max="10" min="10" style="1" width="18"/>
    <col collapsed="false" customWidth="true" hidden="false" outlineLevel="0" max="11" min="11" style="1" width="16"/>
    <col collapsed="false" customWidth="true" hidden="false" outlineLevel="0" max="12" min="12" style="1" width="40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</row>
    <row r="2" customFormat="false" ht="15" hidden="false" customHeight="true" outlineLevel="0" collapsed="false">
      <c r="M2" s="1"/>
      <c r="N2" s="1"/>
      <c r="O2" s="1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1"/>
      <c r="N3" s="1"/>
      <c r="O3" s="1"/>
    </row>
    <row r="4" customFormat="false" ht="15" hidden="false" customHeight="true" outlineLevel="0" collapsed="false">
      <c r="A4" s="4"/>
      <c r="B4" s="4"/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19</v>
      </c>
      <c r="K4" s="4" t="s">
        <v>20</v>
      </c>
      <c r="L4" s="4"/>
      <c r="M4" s="1"/>
      <c r="N4" s="1"/>
      <c r="O4" s="1"/>
    </row>
    <row r="5" customFormat="false" ht="15" hidden="false" customHeight="true" outlineLevel="0" collapsed="false">
      <c r="A5" s="5" t="s">
        <v>21</v>
      </c>
      <c r="B5" s="5" t="s">
        <v>22</v>
      </c>
      <c r="C5" s="6" t="n">
        <v>91467.24</v>
      </c>
      <c r="D5" s="6" t="n">
        <v>669</v>
      </c>
      <c r="E5" s="6" t="n">
        <v>11212.84</v>
      </c>
      <c r="F5" s="6" t="n">
        <v>192.06</v>
      </c>
      <c r="G5" s="6" t="n">
        <v>4366.22</v>
      </c>
      <c r="H5" s="6" t="n">
        <v>435</v>
      </c>
      <c r="I5" s="6" t="n">
        <v>743.92</v>
      </c>
      <c r="J5" s="6" t="n">
        <v>99</v>
      </c>
      <c r="K5" s="7" t="n">
        <v>109185.28</v>
      </c>
      <c r="L5" s="8" t="str">
        <f aca="false">IF(ABS(SUM(C5:J5)-K5)&lt;0.02,IF(ABS(K5-109185)&lt;1,"✓ Invoice=Bank (14/01/2026)","14/01/2026 | Bank=109,185 | Diff="&amp;TEXT(K5-109185,"#,##0.00")),"✗ SUM≠Invoice: "&amp;TEXT(SUM(C5:J5)-K5,"#,##0.00"))</f>
        <v>✓ Invoice=Bank (14/01/2026)</v>
      </c>
      <c r="M5" s="1"/>
      <c r="N5" s="1"/>
      <c r="O5" s="1"/>
    </row>
    <row r="6" customFormat="false" ht="15" hidden="false" customHeight="true" outlineLevel="0" collapsed="false">
      <c r="A6" s="5" t="s">
        <v>23</v>
      </c>
      <c r="B6" s="5" t="s">
        <v>24</v>
      </c>
      <c r="C6" s="6" t="n">
        <v>37291.66</v>
      </c>
      <c r="D6" s="6" t="n">
        <v>1610</v>
      </c>
      <c r="E6" s="6" t="n">
        <v>4218.02</v>
      </c>
      <c r="F6" s="6" t="n">
        <v>56.41</v>
      </c>
      <c r="G6" s="6" t="n">
        <v>2044.22</v>
      </c>
      <c r="H6" s="6" t="n">
        <v>290</v>
      </c>
      <c r="I6" s="6" t="n">
        <v>616.66</v>
      </c>
      <c r="J6" s="6" t="n">
        <v>0</v>
      </c>
      <c r="K6" s="7" t="n">
        <v>46126.97</v>
      </c>
      <c r="L6" s="8" t="str">
        <f aca="false">IF(ABS(SUM(C6:J6)-K6)&lt;0.02,IF(ABS(K6-46127)&lt;1,"✓ Invoice=Bank (28/01/2026)","28/01/2026 | Bank=46,127 | Diff="&amp;TEXT(K6-46127,"#,##0.00")),"✗ SUM≠Invoice: "&amp;TEXT(SUM(C6:J6)-K6,"#,##0.00"))</f>
        <v>✓ Invoice=Bank (28/01/2026)</v>
      </c>
      <c r="M6" s="1"/>
      <c r="N6" s="1"/>
      <c r="O6" s="1"/>
    </row>
    <row r="7" customFormat="false" ht="15" hidden="false" customHeight="true" outlineLevel="0" collapsed="false">
      <c r="A7" s="5" t="s">
        <v>25</v>
      </c>
      <c r="B7" s="5" t="s">
        <v>26</v>
      </c>
      <c r="C7" s="6" t="n">
        <v>37291.66</v>
      </c>
      <c r="D7" s="6" t="n">
        <v>99</v>
      </c>
      <c r="E7" s="6" t="n">
        <v>3096.95</v>
      </c>
      <c r="F7" s="6" t="n">
        <v>56.41</v>
      </c>
      <c r="G7" s="6" t="n">
        <v>2044.22</v>
      </c>
      <c r="H7" s="6" t="n">
        <v>290</v>
      </c>
      <c r="I7" s="6" t="n">
        <v>1272.91</v>
      </c>
      <c r="J7" s="6" t="n">
        <v>0</v>
      </c>
      <c r="K7" s="7" t="n">
        <v>44151.15</v>
      </c>
      <c r="L7" s="8" t="str">
        <f aca="false">IF(ABS(SUM(C7:J7)-K7)&lt;0.02,IF(ABS(K7-44151)&lt;1,"✓ Invoice=Bank (12/02/2026)","12/02/2026 | Bank=44,151 | Diff="&amp;TEXT(K7-44151,"#,##0.00")),"✗ SUM≠Invoice: "&amp;TEXT(SUM(C7:J7)-K7,"#,##0.00"))</f>
        <v>✓ Invoice=Bank (12/02/2026)</v>
      </c>
      <c r="M7" s="1"/>
      <c r="N7" s="1"/>
      <c r="O7" s="1"/>
    </row>
    <row r="8" customFormat="false" ht="15" hidden="false" customHeight="true" outlineLevel="0" collapsed="false">
      <c r="A8" s="5" t="s">
        <v>27</v>
      </c>
      <c r="B8" s="5" t="s">
        <v>28</v>
      </c>
      <c r="C8" s="6" t="n">
        <v>37291.66</v>
      </c>
      <c r="D8" s="6" t="n">
        <v>1610</v>
      </c>
      <c r="E8" s="6" t="n">
        <v>3075.9</v>
      </c>
      <c r="F8" s="6" t="n">
        <v>56.41</v>
      </c>
      <c r="G8" s="6" t="n">
        <v>2044.22</v>
      </c>
      <c r="H8" s="6" t="n">
        <v>290</v>
      </c>
      <c r="I8" s="6" t="n">
        <v>1272.91</v>
      </c>
      <c r="J8" s="6" t="n">
        <v>0</v>
      </c>
      <c r="K8" s="7" t="n">
        <v>45641.1</v>
      </c>
      <c r="L8" s="8" t="str">
        <f aca="false">IF(ABS(SUM(C8:J8)-K8)&lt;0.02,IF(ABS(K8-45641)&lt;1,"✓ Invoice=Bank (25/02/2026)","25/02/2026 | Bank=45,641 | Diff="&amp;TEXT(K8-45641,"#,##0.00")),"✗ SUM≠Invoice: "&amp;TEXT(SUM(C8:J8)-K8,"#,##0.00"))</f>
        <v>✓ Invoice=Bank (25/02/2026)</v>
      </c>
      <c r="M8" s="1"/>
      <c r="N8" s="1"/>
      <c r="O8" s="1"/>
    </row>
    <row r="9" customFormat="false" ht="15" hidden="false" customHeight="true" outlineLevel="0" collapsed="false">
      <c r="A9" s="5" t="s">
        <v>29</v>
      </c>
      <c r="B9" s="5" t="s">
        <v>30</v>
      </c>
      <c r="C9" s="6" t="n">
        <v>47708.33</v>
      </c>
      <c r="D9" s="6" t="n">
        <v>0</v>
      </c>
      <c r="E9" s="6" t="n">
        <v>4476.75</v>
      </c>
      <c r="F9" s="6" t="n">
        <v>94.37</v>
      </c>
      <c r="G9" s="6" t="n">
        <v>2044.22</v>
      </c>
      <c r="H9" s="6" t="n">
        <v>362.5</v>
      </c>
      <c r="I9" s="6" t="n">
        <v>1377.08</v>
      </c>
      <c r="J9" s="6" t="n">
        <v>99</v>
      </c>
      <c r="K9" s="7" t="n">
        <v>56162.25</v>
      </c>
      <c r="L9" s="8" t="str">
        <f aca="false">IF(ABS(SUM(C9:J9)-K9)&lt;0.02,"✓ SUM=Invoice | מרץ-אין בנק","✗ SUM≠Invoice")</f>
        <v>✓ SUM=Invoice | מרץ-אין בנק</v>
      </c>
      <c r="M9" s="1"/>
      <c r="N9" s="1"/>
      <c r="O9" s="1"/>
    </row>
    <row r="10" customFormat="false" ht="15" hidden="false" customHeight="true" outlineLevel="0" collapsed="false">
      <c r="A10" s="5" t="s">
        <v>31</v>
      </c>
      <c r="B10" s="5" t="s">
        <v>32</v>
      </c>
      <c r="C10" s="6" t="n">
        <v>54375</v>
      </c>
      <c r="D10" s="6" t="n">
        <v>1610</v>
      </c>
      <c r="E10" s="6" t="n">
        <v>5019.25</v>
      </c>
      <c r="F10" s="6" t="n">
        <v>116.34</v>
      </c>
      <c r="G10" s="6" t="n">
        <v>2044.22</v>
      </c>
      <c r="H10" s="6" t="n">
        <v>435</v>
      </c>
      <c r="I10" s="6" t="n">
        <v>1377.08</v>
      </c>
      <c r="J10" s="6" t="n">
        <v>99</v>
      </c>
      <c r="K10" s="7" t="n">
        <v>65075.89</v>
      </c>
      <c r="L10" s="8" t="str">
        <f aca="false">IF(ABS(SUM(C10:J10)-K10)&lt;0.02,"✓ SUM=Invoice | מרץ-אין בנק","✗ SUM≠Invoice")</f>
        <v>✓ SUM=Invoice | מרץ-אין בנק</v>
      </c>
      <c r="M10" s="1"/>
      <c r="N10" s="1"/>
      <c r="O10" s="1"/>
    </row>
    <row r="11" customFormat="false" ht="15" hidden="false" customHeight="true" outlineLevel="0" collapsed="false">
      <c r="A11" s="9" t="s">
        <v>33</v>
      </c>
      <c r="B11" s="10"/>
      <c r="C11" s="11" t="n">
        <f aca="false">SUM(C5:C10)</f>
        <v>305425.55</v>
      </c>
      <c r="D11" s="11" t="n">
        <f aca="false">SUM(D5:D10)</f>
        <v>5598</v>
      </c>
      <c r="E11" s="11" t="n">
        <f aca="false">SUM(E5:E10)</f>
        <v>31099.71</v>
      </c>
      <c r="F11" s="11" t="n">
        <f aca="false">SUM(F5:F10)</f>
        <v>572</v>
      </c>
      <c r="G11" s="11" t="n">
        <f aca="false">SUM(G5:G10)</f>
        <v>14587.32</v>
      </c>
      <c r="H11" s="11" t="n">
        <f aca="false">SUM(H5:H10)</f>
        <v>2102.5</v>
      </c>
      <c r="I11" s="11" t="n">
        <f aca="false">SUM(I5:I10)</f>
        <v>6660.56</v>
      </c>
      <c r="J11" s="11" t="n">
        <f aca="false">SUM(J5:J10)</f>
        <v>297</v>
      </c>
      <c r="K11" s="11" t="n">
        <f aca="false">SUM(K5:K10)</f>
        <v>366342.64</v>
      </c>
      <c r="L11" s="10"/>
      <c r="M11" s="1"/>
      <c r="N11" s="1"/>
      <c r="O11" s="1"/>
    </row>
    <row r="12" customFormat="false" ht="15" hidden="false" customHeight="true" outlineLevel="0" collapsed="false">
      <c r="A12" s="12"/>
      <c r="C12" s="13"/>
      <c r="G12" s="12"/>
      <c r="M12" s="1"/>
      <c r="N12" s="1"/>
      <c r="O12" s="1"/>
    </row>
    <row r="13" customFormat="false" ht="15" hidden="false" customHeight="true" outlineLevel="0" collapsed="false">
      <c r="M13" s="1"/>
      <c r="N13" s="1"/>
      <c r="O13" s="1"/>
    </row>
    <row r="14" customFormat="false" ht="15" hidden="false" customHeight="true" outlineLevel="0" collapsed="false">
      <c r="M14" s="1"/>
      <c r="N14" s="1"/>
      <c r="O14" s="1"/>
    </row>
    <row r="15" customFormat="false" ht="15" hidden="false" customHeight="true" outlineLevel="0" collapsed="false">
      <c r="M15" s="1"/>
      <c r="N15" s="1"/>
      <c r="O15" s="1"/>
    </row>
    <row r="16" customFormat="false" ht="15" hidden="false" customHeight="true" outlineLevel="0" collapsed="false">
      <c r="M16" s="1"/>
      <c r="N16" s="1"/>
      <c r="O16" s="1"/>
    </row>
    <row r="17" customFormat="false" ht="15" hidden="false" customHeight="true" outlineLevel="0" collapsed="false">
      <c r="M17" s="1"/>
      <c r="N17" s="1"/>
      <c r="O17" s="1"/>
    </row>
    <row r="18" customFormat="false" ht="15" hidden="false" customHeight="true" outlineLevel="0" collapsed="false">
      <c r="M18" s="1"/>
      <c r="N18" s="1"/>
      <c r="O18" s="1"/>
    </row>
    <row r="19" customFormat="false" ht="15" hidden="false" customHeight="true" outlineLevel="0" collapsed="false">
      <c r="M19" s="1"/>
      <c r="N19" s="1"/>
      <c r="O19" s="1"/>
    </row>
    <row r="20" customFormat="false" ht="15" hidden="false" customHeight="true" outlineLevel="0" collapsed="false">
      <c r="M20" s="1"/>
      <c r="N20" s="1"/>
      <c r="O20" s="1"/>
    </row>
    <row r="21" customFormat="false" ht="15" hidden="false" customHeight="true" outlineLevel="0" collapsed="false">
      <c r="M21" s="1"/>
      <c r="N21" s="1"/>
      <c r="O21" s="1"/>
    </row>
    <row r="22" customFormat="false" ht="15" hidden="false" customHeight="true" outlineLevel="0" collapsed="false">
      <c r="M22" s="1"/>
      <c r="N22" s="1"/>
      <c r="O22" s="1"/>
    </row>
    <row r="23" customFormat="false" ht="15" hidden="false" customHeight="true" outlineLevel="0" collapsed="false">
      <c r="M23" s="1"/>
      <c r="N23" s="1"/>
      <c r="O23" s="1"/>
    </row>
    <row r="24" customFormat="false" ht="15" hidden="false" customHeight="true" outlineLevel="0" collapsed="false">
      <c r="M24" s="1"/>
      <c r="N24" s="1"/>
      <c r="O24" s="1"/>
    </row>
    <row r="25" customFormat="false" ht="15" hidden="false" customHeight="true" outlineLevel="0" collapsed="false">
      <c r="M25" s="1"/>
      <c r="N25" s="1"/>
      <c r="O25" s="1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22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35"/>
  </cols>
  <sheetData>
    <row r="1" customFormat="false" ht="16.5" hidden="false" customHeight="true" outlineLevel="0" collapsed="false">
      <c r="A1" s="2" t="s">
        <v>34</v>
      </c>
      <c r="B1" s="2"/>
      <c r="C1" s="2"/>
      <c r="D1" s="2"/>
      <c r="E1" s="2"/>
      <c r="F1" s="2"/>
      <c r="G1" s="2"/>
      <c r="H1" s="2"/>
    </row>
    <row r="3" customFormat="false" ht="26.25" hidden="false" customHeight="true" outlineLevel="0" collapsed="false">
      <c r="A3" s="3" t="s">
        <v>1</v>
      </c>
      <c r="B3" s="3" t="s">
        <v>2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</row>
    <row r="4" customFormat="false" ht="15" hidden="false" customHeight="true" outlineLevel="0" collapsed="false">
      <c r="A4" s="5" t="s">
        <v>21</v>
      </c>
      <c r="B4" s="5" t="s">
        <v>22</v>
      </c>
      <c r="C4" s="5" t="s">
        <v>41</v>
      </c>
      <c r="D4" s="5" t="s">
        <v>42</v>
      </c>
      <c r="E4" s="6" t="n">
        <v>13950.75</v>
      </c>
      <c r="F4" s="6" t="n">
        <v>2840.47</v>
      </c>
      <c r="G4" s="7" t="n">
        <f aca="false">E4+F4</f>
        <v>16791.22</v>
      </c>
      <c r="H4" s="14"/>
    </row>
    <row r="5" customFormat="false" ht="15" hidden="false" customHeight="true" outlineLevel="0" collapsed="false">
      <c r="A5" s="5" t="s">
        <v>21</v>
      </c>
      <c r="B5" s="5" t="s">
        <v>22</v>
      </c>
      <c r="C5" s="5" t="s">
        <v>43</v>
      </c>
      <c r="D5" s="5" t="s">
        <v>44</v>
      </c>
      <c r="E5" s="6" t="n">
        <v>36458.33</v>
      </c>
      <c r="F5" s="6" t="n">
        <v>5355.88</v>
      </c>
      <c r="G5" s="7" t="n">
        <f aca="false">E5+F5</f>
        <v>41814.21</v>
      </c>
      <c r="H5" s="14"/>
    </row>
    <row r="6" customFormat="false" ht="15" hidden="false" customHeight="true" outlineLevel="0" collapsed="false">
      <c r="A6" s="5" t="s">
        <v>21</v>
      </c>
      <c r="B6" s="5" t="s">
        <v>22</v>
      </c>
      <c r="C6" s="5" t="s">
        <v>45</v>
      </c>
      <c r="D6" s="5" t="s">
        <v>46</v>
      </c>
      <c r="E6" s="6" t="n">
        <v>7083.33</v>
      </c>
      <c r="F6" s="6" t="n">
        <v>1767.84</v>
      </c>
      <c r="G6" s="7" t="n">
        <f aca="false">E6+F6</f>
        <v>8851.17</v>
      </c>
      <c r="H6" s="14"/>
    </row>
    <row r="7" customFormat="false" ht="15" hidden="false" customHeight="true" outlineLevel="0" collapsed="false">
      <c r="A7" s="5" t="s">
        <v>21</v>
      </c>
      <c r="B7" s="5" t="s">
        <v>22</v>
      </c>
      <c r="C7" s="5" t="s">
        <v>47</v>
      </c>
      <c r="D7" s="5" t="s">
        <v>48</v>
      </c>
      <c r="E7" s="6" t="n">
        <v>9002.82</v>
      </c>
      <c r="F7" s="6" t="n">
        <v>1021.47</v>
      </c>
      <c r="G7" s="7" t="n">
        <f aca="false">E7+F7</f>
        <v>10024.29</v>
      </c>
      <c r="H7" s="14"/>
    </row>
    <row r="8" customFormat="false" ht="15" hidden="false" customHeight="true" outlineLevel="0" collapsed="false">
      <c r="A8" s="5" t="s">
        <v>21</v>
      </c>
      <c r="B8" s="5" t="s">
        <v>22</v>
      </c>
      <c r="C8" s="5" t="s">
        <v>49</v>
      </c>
      <c r="D8" s="5" t="s">
        <v>50</v>
      </c>
      <c r="E8" s="6" t="n">
        <v>8333.33</v>
      </c>
      <c r="F8" s="6" t="n">
        <v>1988.67</v>
      </c>
      <c r="G8" s="7" t="n">
        <f aca="false">E8+F8</f>
        <v>10322</v>
      </c>
      <c r="H8" s="14"/>
    </row>
    <row r="9" customFormat="false" ht="15" hidden="false" customHeight="true" outlineLevel="0" collapsed="false">
      <c r="A9" s="5" t="s">
        <v>21</v>
      </c>
      <c r="B9" s="5" t="s">
        <v>22</v>
      </c>
      <c r="C9" s="5" t="s">
        <v>51</v>
      </c>
      <c r="D9" s="5" t="s">
        <v>52</v>
      </c>
      <c r="E9" s="6" t="n">
        <v>17307.68</v>
      </c>
      <c r="F9" s="6" t="n">
        <v>4074.71</v>
      </c>
      <c r="G9" s="7" t="n">
        <f aca="false">E9+F9</f>
        <v>21382.39</v>
      </c>
      <c r="H9" s="14"/>
    </row>
    <row r="10" customFormat="false" ht="15" hidden="false" customHeight="true" outlineLevel="0" collapsed="false">
      <c r="A10" s="9" t="s">
        <v>21</v>
      </c>
      <c r="B10" s="10"/>
      <c r="C10" s="10"/>
      <c r="D10" s="9" t="s">
        <v>53</v>
      </c>
      <c r="E10" s="11" t="n">
        <f aca="false">SUM(E4:E9)</f>
        <v>92136.24</v>
      </c>
      <c r="F10" s="11" t="n">
        <f aca="false">SUM(F4:F9)</f>
        <v>17049.04</v>
      </c>
      <c r="G10" s="11" t="n">
        <f aca="false">SUM(G4:G9)</f>
        <v>109185.28</v>
      </c>
      <c r="H10" s="9" t="str">
        <f aca="false">IF(ABS(G10-109185.28)&lt;0.02,"OK - תואם חשבונית 109,185.28","שגיאה! חשבונית=109,185.28")</f>
        <v>OK - תואם חשבונית 109,185.28</v>
      </c>
    </row>
    <row r="12" customFormat="false" ht="15" hidden="false" customHeight="true" outlineLevel="0" collapsed="false">
      <c r="A12" s="5" t="s">
        <v>23</v>
      </c>
      <c r="B12" s="5" t="s">
        <v>24</v>
      </c>
      <c r="C12" s="5" t="s">
        <v>43</v>
      </c>
      <c r="D12" s="5" t="s">
        <v>44</v>
      </c>
      <c r="E12" s="6" t="n">
        <v>11458.33</v>
      </c>
      <c r="F12" s="6" t="n">
        <v>2238.12</v>
      </c>
      <c r="G12" s="7" t="n">
        <f aca="false">E12+F12</f>
        <v>13696.45</v>
      </c>
      <c r="H12" s="14"/>
    </row>
    <row r="13" customFormat="false" ht="15" hidden="false" customHeight="true" outlineLevel="0" collapsed="false">
      <c r="A13" s="5" t="s">
        <v>23</v>
      </c>
      <c r="B13" s="5" t="s">
        <v>24</v>
      </c>
      <c r="C13" s="5" t="s">
        <v>45</v>
      </c>
      <c r="D13" s="5" t="s">
        <v>46</v>
      </c>
      <c r="E13" s="6" t="n">
        <v>7083.33</v>
      </c>
      <c r="F13" s="6" t="n">
        <v>1760.16</v>
      </c>
      <c r="G13" s="7" t="n">
        <f aca="false">E13+F13</f>
        <v>8843.49</v>
      </c>
      <c r="H13" s="14"/>
    </row>
    <row r="14" customFormat="false" ht="15" hidden="false" customHeight="true" outlineLevel="0" collapsed="false">
      <c r="A14" s="5" t="s">
        <v>23</v>
      </c>
      <c r="B14" s="5" t="s">
        <v>24</v>
      </c>
      <c r="C14" s="5" t="s">
        <v>47</v>
      </c>
      <c r="D14" s="5" t="s">
        <v>48</v>
      </c>
      <c r="E14" s="6" t="n">
        <v>12026.67</v>
      </c>
      <c r="F14" s="6" t="n">
        <v>1247.38</v>
      </c>
      <c r="G14" s="7" t="n">
        <f aca="false">E14+F14</f>
        <v>13274.05</v>
      </c>
      <c r="H14" s="14"/>
    </row>
    <row r="15" customFormat="false" ht="15" hidden="false" customHeight="true" outlineLevel="0" collapsed="false">
      <c r="A15" s="5" t="s">
        <v>23</v>
      </c>
      <c r="B15" s="5" t="s">
        <v>24</v>
      </c>
      <c r="C15" s="5" t="s">
        <v>49</v>
      </c>
      <c r="D15" s="5" t="s">
        <v>50</v>
      </c>
      <c r="E15" s="6" t="n">
        <v>8333.33</v>
      </c>
      <c r="F15" s="6" t="n">
        <v>1979.65</v>
      </c>
      <c r="G15" s="7" t="n">
        <f aca="false">E15+F15</f>
        <v>10312.98</v>
      </c>
      <c r="H15" s="14"/>
    </row>
    <row r="16" customFormat="false" ht="15" hidden="false" customHeight="true" outlineLevel="0" collapsed="false">
      <c r="A16" s="9" t="s">
        <v>23</v>
      </c>
      <c r="B16" s="10"/>
      <c r="C16" s="10"/>
      <c r="D16" s="9" t="s">
        <v>53</v>
      </c>
      <c r="E16" s="11" t="n">
        <f aca="false">SUM(E12:E15)</f>
        <v>38901.66</v>
      </c>
      <c r="F16" s="11" t="n">
        <f aca="false">SUM(F12:F15)</f>
        <v>7225.31</v>
      </c>
      <c r="G16" s="11" t="n">
        <f aca="false">SUM(G12:G15)</f>
        <v>46126.97</v>
      </c>
      <c r="H16" s="9" t="str">
        <f aca="false">IF(ABS(G16-46126.97)&lt;0.02,"OK - תואם חשבונית 46,126.97","שגיאה! חשבונית=46,126.97")</f>
        <v>OK - תואם חשבונית 46,126.97</v>
      </c>
    </row>
    <row r="18" customFormat="false" ht="15" hidden="false" customHeight="true" outlineLevel="0" collapsed="false">
      <c r="A18" s="5" t="s">
        <v>25</v>
      </c>
      <c r="B18" s="5" t="s">
        <v>26</v>
      </c>
      <c r="C18" s="5" t="s">
        <v>43</v>
      </c>
      <c r="D18" s="5" t="s">
        <v>44</v>
      </c>
      <c r="E18" s="6" t="n">
        <v>11557.33</v>
      </c>
      <c r="F18" s="6" t="n">
        <v>2247.29</v>
      </c>
      <c r="G18" s="7" t="n">
        <f aca="false">E18+F18</f>
        <v>13804.62</v>
      </c>
      <c r="H18" s="14"/>
    </row>
    <row r="19" customFormat="false" ht="15" hidden="false" customHeight="true" outlineLevel="0" collapsed="false">
      <c r="A19" s="5" t="s">
        <v>25</v>
      </c>
      <c r="B19" s="5" t="s">
        <v>26</v>
      </c>
      <c r="C19" s="5" t="s">
        <v>45</v>
      </c>
      <c r="D19" s="5" t="s">
        <v>46</v>
      </c>
      <c r="E19" s="6" t="n">
        <v>7083.33</v>
      </c>
      <c r="F19" s="6" t="n">
        <v>1559.8</v>
      </c>
      <c r="G19" s="7" t="n">
        <f aca="false">E19+F19</f>
        <v>8643.13</v>
      </c>
      <c r="H19" s="14"/>
    </row>
    <row r="20" customFormat="false" ht="15" hidden="false" customHeight="true" outlineLevel="0" collapsed="false">
      <c r="A20" s="5" t="s">
        <v>25</v>
      </c>
      <c r="B20" s="5" t="s">
        <v>26</v>
      </c>
      <c r="C20" s="5" t="s">
        <v>47</v>
      </c>
      <c r="D20" s="5" t="s">
        <v>48</v>
      </c>
      <c r="E20" s="6" t="n">
        <v>10416.67</v>
      </c>
      <c r="F20" s="6" t="n">
        <v>1234.25</v>
      </c>
      <c r="G20" s="7" t="n">
        <f aca="false">E20+F20</f>
        <v>11650.92</v>
      </c>
      <c r="H20" s="14"/>
    </row>
    <row r="21" customFormat="false" ht="15" hidden="false" customHeight="true" outlineLevel="0" collapsed="false">
      <c r="A21" s="5" t="s">
        <v>25</v>
      </c>
      <c r="B21" s="5" t="s">
        <v>26</v>
      </c>
      <c r="C21" s="5" t="s">
        <v>49</v>
      </c>
      <c r="D21" s="5" t="s">
        <v>50</v>
      </c>
      <c r="E21" s="6" t="n">
        <v>8333.33</v>
      </c>
      <c r="F21" s="6" t="n">
        <v>1719.15</v>
      </c>
      <c r="G21" s="7" t="n">
        <f aca="false">E21+F21</f>
        <v>10052.48</v>
      </c>
      <c r="H21" s="14"/>
    </row>
    <row r="22" customFormat="false" ht="15" hidden="false" customHeight="true" outlineLevel="0" collapsed="false">
      <c r="A22" s="9" t="s">
        <v>25</v>
      </c>
      <c r="B22" s="10"/>
      <c r="C22" s="10"/>
      <c r="D22" s="9" t="s">
        <v>53</v>
      </c>
      <c r="E22" s="11" t="n">
        <f aca="false">SUM(E18:E21)</f>
        <v>37390.66</v>
      </c>
      <c r="F22" s="11" t="n">
        <f aca="false">SUM(F18:F21)</f>
        <v>6760.49</v>
      </c>
      <c r="G22" s="11" t="n">
        <f aca="false">SUM(G18:G21)</f>
        <v>44151.15</v>
      </c>
      <c r="H22" s="9" t="str">
        <f aca="false">IF(ABS(G22-44151.15)&lt;0.02,"OK - תואם חשבונית 44,151.15","שגיאה! חשבונית=44,151.15")</f>
        <v>OK - תואם חשבונית 44,151.15</v>
      </c>
    </row>
    <row r="24" customFormat="false" ht="15" hidden="false" customHeight="true" outlineLevel="0" collapsed="false">
      <c r="A24" s="5" t="s">
        <v>27</v>
      </c>
      <c r="B24" s="5" t="s">
        <v>28</v>
      </c>
      <c r="C24" s="5" t="s">
        <v>43</v>
      </c>
      <c r="D24" s="5" t="s">
        <v>44</v>
      </c>
      <c r="E24" s="6" t="n">
        <v>11458.33</v>
      </c>
      <c r="F24" s="6" t="n">
        <v>2247.29</v>
      </c>
      <c r="G24" s="7" t="n">
        <f aca="false">E24+F24</f>
        <v>13705.62</v>
      </c>
      <c r="H24" s="14"/>
    </row>
    <row r="25" customFormat="false" ht="15" hidden="false" customHeight="true" outlineLevel="0" collapsed="false">
      <c r="A25" s="5" t="s">
        <v>27</v>
      </c>
      <c r="B25" s="5" t="s">
        <v>28</v>
      </c>
      <c r="C25" s="5" t="s">
        <v>45</v>
      </c>
      <c r="D25" s="5" t="s">
        <v>46</v>
      </c>
      <c r="E25" s="6" t="n">
        <v>7083.33</v>
      </c>
      <c r="F25" s="6" t="n">
        <v>1538.75</v>
      </c>
      <c r="G25" s="7" t="n">
        <f aca="false">E25+F25</f>
        <v>8622.08</v>
      </c>
      <c r="H25" s="14"/>
    </row>
    <row r="26" customFormat="false" ht="15" hidden="false" customHeight="true" outlineLevel="0" collapsed="false">
      <c r="A26" s="5" t="s">
        <v>27</v>
      </c>
      <c r="B26" s="5" t="s">
        <v>28</v>
      </c>
      <c r="C26" s="5" t="s">
        <v>47</v>
      </c>
      <c r="D26" s="5" t="s">
        <v>48</v>
      </c>
      <c r="E26" s="6" t="n">
        <v>12026.67</v>
      </c>
      <c r="F26" s="6" t="n">
        <v>1234.25</v>
      </c>
      <c r="G26" s="7" t="n">
        <f aca="false">E26+F26</f>
        <v>13260.92</v>
      </c>
      <c r="H26" s="14"/>
    </row>
    <row r="27" customFormat="false" ht="15" hidden="false" customHeight="true" outlineLevel="0" collapsed="false">
      <c r="A27" s="5" t="s">
        <v>27</v>
      </c>
      <c r="B27" s="5" t="s">
        <v>28</v>
      </c>
      <c r="C27" s="5" t="s">
        <v>49</v>
      </c>
      <c r="D27" s="5" t="s">
        <v>50</v>
      </c>
      <c r="E27" s="6" t="n">
        <v>8333.33</v>
      </c>
      <c r="F27" s="6" t="n">
        <v>1719.15</v>
      </c>
      <c r="G27" s="7" t="n">
        <f aca="false">E27+F27</f>
        <v>10052.48</v>
      </c>
      <c r="H27" s="14"/>
    </row>
    <row r="28" customFormat="false" ht="15" hidden="false" customHeight="true" outlineLevel="0" collapsed="false">
      <c r="A28" s="9" t="s">
        <v>27</v>
      </c>
      <c r="B28" s="10"/>
      <c r="C28" s="10"/>
      <c r="D28" s="9" t="s">
        <v>53</v>
      </c>
      <c r="E28" s="11" t="n">
        <f aca="false">SUM(E24:E27)</f>
        <v>38901.66</v>
      </c>
      <c r="F28" s="11" t="n">
        <f aca="false">SUM(F24:F27)</f>
        <v>6739.44</v>
      </c>
      <c r="G28" s="11" t="n">
        <f aca="false">SUM(G24:G27)</f>
        <v>45641.1</v>
      </c>
      <c r="H28" s="9" t="str">
        <f aca="false">IF(ABS(G28-45641.1)&lt;0.02,"OK - תואם חשבונית 45,641.10","שגיאה! חשבונית=45,641.10")</f>
        <v>OK - תואם חשבונית 45,641.10</v>
      </c>
    </row>
    <row r="30" customFormat="false" ht="15" hidden="false" customHeight="true" outlineLevel="0" collapsed="false">
      <c r="A30" s="5" t="s">
        <v>29</v>
      </c>
      <c r="B30" s="5" t="s">
        <v>30</v>
      </c>
      <c r="C30" s="5" t="s">
        <v>43</v>
      </c>
      <c r="D30" s="5" t="s">
        <v>44</v>
      </c>
      <c r="E30" s="6" t="n">
        <v>11458.33</v>
      </c>
      <c r="F30" s="6" t="n">
        <v>2271.07</v>
      </c>
      <c r="G30" s="7" t="n">
        <f aca="false">E30+F30</f>
        <v>13729.4</v>
      </c>
      <c r="H30" s="14"/>
    </row>
    <row r="31" customFormat="false" ht="15" hidden="false" customHeight="true" outlineLevel="0" collapsed="false">
      <c r="A31" s="5" t="s">
        <v>29</v>
      </c>
      <c r="B31" s="5" t="s">
        <v>30</v>
      </c>
      <c r="C31" s="5" t="s">
        <v>45</v>
      </c>
      <c r="D31" s="5" t="s">
        <v>46</v>
      </c>
      <c r="E31" s="6" t="n">
        <v>7083.33</v>
      </c>
      <c r="F31" s="6" t="n">
        <v>1553.45</v>
      </c>
      <c r="G31" s="7" t="n">
        <f aca="false">E31+F31</f>
        <v>8636.78</v>
      </c>
      <c r="H31" s="14"/>
    </row>
    <row r="32" customFormat="false" ht="15" hidden="false" customHeight="true" outlineLevel="0" collapsed="false">
      <c r="A32" s="5" t="s">
        <v>29</v>
      </c>
      <c r="B32" s="5" t="s">
        <v>30</v>
      </c>
      <c r="C32" s="5" t="s">
        <v>47</v>
      </c>
      <c r="D32" s="5" t="s">
        <v>48</v>
      </c>
      <c r="E32" s="6" t="n">
        <v>10416.67</v>
      </c>
      <c r="F32" s="6" t="n">
        <v>1360.03</v>
      </c>
      <c r="G32" s="7" t="n">
        <f aca="false">E32+F32</f>
        <v>11776.7</v>
      </c>
      <c r="H32" s="14"/>
    </row>
    <row r="33" customFormat="false" ht="15" hidden="false" customHeight="true" outlineLevel="0" collapsed="false">
      <c r="A33" s="5" t="s">
        <v>29</v>
      </c>
      <c r="B33" s="5" t="s">
        <v>30</v>
      </c>
      <c r="C33" s="5" t="s">
        <v>49</v>
      </c>
      <c r="D33" s="5" t="s">
        <v>50</v>
      </c>
      <c r="E33" s="6" t="n">
        <v>8333.33</v>
      </c>
      <c r="F33" s="6" t="n">
        <v>1736.44</v>
      </c>
      <c r="G33" s="7" t="n">
        <f aca="false">E33+F33</f>
        <v>10069.77</v>
      </c>
      <c r="H33" s="14"/>
    </row>
    <row r="34" customFormat="false" ht="15" hidden="false" customHeight="true" outlineLevel="0" collapsed="false">
      <c r="A34" s="5" t="s">
        <v>29</v>
      </c>
      <c r="B34" s="5" t="s">
        <v>30</v>
      </c>
      <c r="C34" s="5" t="s">
        <v>54</v>
      </c>
      <c r="D34" s="5" t="s">
        <v>55</v>
      </c>
      <c r="E34" s="6" t="n">
        <v>10416.67</v>
      </c>
      <c r="F34" s="6" t="n">
        <v>1532.93</v>
      </c>
      <c r="G34" s="7" t="n">
        <f aca="false">E34+F34</f>
        <v>11949.6</v>
      </c>
      <c r="H34" s="14"/>
    </row>
    <row r="35" customFormat="false" ht="15" hidden="false" customHeight="true" outlineLevel="0" collapsed="false">
      <c r="A35" s="9" t="s">
        <v>29</v>
      </c>
      <c r="B35" s="10"/>
      <c r="C35" s="10"/>
      <c r="D35" s="9" t="s">
        <v>53</v>
      </c>
      <c r="E35" s="11" t="n">
        <f aca="false">SUM(E30:E34)</f>
        <v>47708.33</v>
      </c>
      <c r="F35" s="11" t="n">
        <f aca="false">SUM(F30:F34)</f>
        <v>8453.92</v>
      </c>
      <c r="G35" s="11" t="n">
        <f aca="false">SUM(G30:G34)</f>
        <v>56162.25</v>
      </c>
      <c r="H35" s="9" t="str">
        <f aca="false">IF(ABS(G35-56162.25)&lt;0.02,"OK - תואם חשבונית 56,162.25","שגיאה! חשבונית=56,162.25")</f>
        <v>OK - תואם חשבונית 56,162.25</v>
      </c>
    </row>
    <row r="37" customFormat="false" ht="15" hidden="false" customHeight="true" outlineLevel="0" collapsed="false">
      <c r="A37" s="5" t="s">
        <v>31</v>
      </c>
      <c r="B37" s="5" t="s">
        <v>32</v>
      </c>
      <c r="C37" s="5" t="s">
        <v>56</v>
      </c>
      <c r="D37" s="5" t="s">
        <v>57</v>
      </c>
      <c r="E37" s="6" t="n">
        <v>6666.67</v>
      </c>
      <c r="F37" s="6" t="n">
        <v>836.61</v>
      </c>
      <c r="G37" s="7" t="n">
        <f aca="false">E37+F37</f>
        <v>7503.28</v>
      </c>
      <c r="H37" s="14"/>
    </row>
    <row r="38" customFormat="false" ht="15" hidden="false" customHeight="true" outlineLevel="0" collapsed="false">
      <c r="A38" s="5" t="s">
        <v>31</v>
      </c>
      <c r="B38" s="5" t="s">
        <v>32</v>
      </c>
      <c r="C38" s="5" t="s">
        <v>43</v>
      </c>
      <c r="D38" s="5" t="s">
        <v>44</v>
      </c>
      <c r="E38" s="6" t="n">
        <v>11458.33</v>
      </c>
      <c r="F38" s="6" t="n">
        <v>2268.15</v>
      </c>
      <c r="G38" s="7" t="n">
        <f aca="false">E38+F38</f>
        <v>13726.48</v>
      </c>
      <c r="H38" s="14"/>
    </row>
    <row r="39" customFormat="false" ht="15" hidden="false" customHeight="true" outlineLevel="0" collapsed="false">
      <c r="A39" s="5" t="s">
        <v>31</v>
      </c>
      <c r="B39" s="5" t="s">
        <v>32</v>
      </c>
      <c r="C39" s="5" t="s">
        <v>45</v>
      </c>
      <c r="D39" s="5" t="s">
        <v>46</v>
      </c>
      <c r="E39" s="6" t="n">
        <v>7083.33</v>
      </c>
      <c r="F39" s="6" t="n">
        <v>1551.65</v>
      </c>
      <c r="G39" s="7" t="n">
        <f aca="false">E39+F39</f>
        <v>8634.98</v>
      </c>
      <c r="H39" s="14"/>
    </row>
    <row r="40" customFormat="false" ht="15" hidden="false" customHeight="true" outlineLevel="0" collapsed="false">
      <c r="A40" s="5" t="s">
        <v>31</v>
      </c>
      <c r="B40" s="5" t="s">
        <v>32</v>
      </c>
      <c r="C40" s="5" t="s">
        <v>47</v>
      </c>
      <c r="D40" s="5" t="s">
        <v>48</v>
      </c>
      <c r="E40" s="6" t="n">
        <v>12026.67</v>
      </c>
      <c r="F40" s="6" t="n">
        <v>1357.38</v>
      </c>
      <c r="G40" s="7" t="n">
        <f aca="false">E40+F40</f>
        <v>13384.05</v>
      </c>
      <c r="H40" s="14"/>
    </row>
    <row r="41" customFormat="false" ht="15" hidden="false" customHeight="true" outlineLevel="0" collapsed="false">
      <c r="A41" s="5" t="s">
        <v>31</v>
      </c>
      <c r="B41" s="5" t="s">
        <v>32</v>
      </c>
      <c r="C41" s="5" t="s">
        <v>49</v>
      </c>
      <c r="D41" s="5" t="s">
        <v>50</v>
      </c>
      <c r="E41" s="6" t="n">
        <v>8333.33</v>
      </c>
      <c r="F41" s="6" t="n">
        <v>1734.32</v>
      </c>
      <c r="G41" s="7" t="n">
        <f aca="false">E41+F41</f>
        <v>10067.65</v>
      </c>
      <c r="H41" s="14"/>
    </row>
    <row r="42" customFormat="false" ht="15" hidden="false" customHeight="true" outlineLevel="0" collapsed="false">
      <c r="A42" s="5" t="s">
        <v>31</v>
      </c>
      <c r="B42" s="5" t="s">
        <v>32</v>
      </c>
      <c r="C42" s="5" t="s">
        <v>54</v>
      </c>
      <c r="D42" s="5" t="s">
        <v>55</v>
      </c>
      <c r="E42" s="6" t="n">
        <v>10416.67</v>
      </c>
      <c r="F42" s="6" t="n">
        <v>1342.78</v>
      </c>
      <c r="G42" s="7" t="n">
        <f aca="false">E42+F42</f>
        <v>11759.45</v>
      </c>
      <c r="H42" s="14"/>
    </row>
    <row r="43" customFormat="false" ht="15" hidden="false" customHeight="true" outlineLevel="0" collapsed="false">
      <c r="A43" s="9" t="s">
        <v>31</v>
      </c>
      <c r="B43" s="10"/>
      <c r="C43" s="10"/>
      <c r="D43" s="9" t="s">
        <v>53</v>
      </c>
      <c r="E43" s="11" t="n">
        <f aca="false">SUM(E37:E42)</f>
        <v>55985</v>
      </c>
      <c r="F43" s="11" t="n">
        <f aca="false">SUM(F37:F42)</f>
        <v>9090.89</v>
      </c>
      <c r="G43" s="11" t="n">
        <f aca="false">SUM(G37:G42)</f>
        <v>65075.89</v>
      </c>
      <c r="H43" s="9" t="str">
        <f aca="false">IF(ABS(G43-65075.89)&lt;0.02,"OK - תואם חשבונית 65,075.89","שגיאה! חשבונית=65,075.89")</f>
        <v>OK - תואם חשבונית 65,075.89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2"/>
    <col collapsed="false" customWidth="true" hidden="false" outlineLevel="0" max="5" min="4" style="1" width="24"/>
  </cols>
  <sheetData>
    <row r="1" customFormat="false" ht="16.5" hidden="false" customHeight="true" outlineLevel="0" collapsed="false">
      <c r="A1" s="2" t="s">
        <v>58</v>
      </c>
      <c r="B1" s="2"/>
      <c r="C1" s="2"/>
      <c r="D1" s="2"/>
      <c r="E1" s="2"/>
    </row>
    <row r="3" customFormat="false" ht="15" hidden="false" customHeight="true" outlineLevel="0" collapsed="false">
      <c r="A3" s="3" t="s">
        <v>35</v>
      </c>
      <c r="B3" s="3" t="s">
        <v>36</v>
      </c>
      <c r="C3" s="3" t="s">
        <v>59</v>
      </c>
      <c r="D3" s="3" t="s">
        <v>60</v>
      </c>
      <c r="E3" s="3" t="s">
        <v>61</v>
      </c>
    </row>
    <row r="4" customFormat="false" ht="15" hidden="false" customHeight="true" outlineLevel="0" collapsed="false">
      <c r="A4" s="5" t="s">
        <v>41</v>
      </c>
      <c r="B4" s="5" t="s">
        <v>42</v>
      </c>
      <c r="C4" s="6" t="n">
        <v>13950.75</v>
      </c>
      <c r="D4" s="6" t="n">
        <v>2840.47</v>
      </c>
      <c r="E4" s="7" t="n">
        <f aca="false">C4+D4</f>
        <v>16791.22</v>
      </c>
    </row>
    <row r="5" customFormat="false" ht="15" hidden="false" customHeight="true" outlineLevel="0" collapsed="false">
      <c r="A5" s="5" t="s">
        <v>56</v>
      </c>
      <c r="B5" s="5" t="s">
        <v>57</v>
      </c>
      <c r="C5" s="6" t="n">
        <v>6666.67</v>
      </c>
      <c r="D5" s="6" t="n">
        <v>836.61</v>
      </c>
      <c r="E5" s="7" t="n">
        <f aca="false">C5+D5</f>
        <v>7503.28</v>
      </c>
    </row>
    <row r="6" customFormat="false" ht="15" hidden="false" customHeight="true" outlineLevel="0" collapsed="false">
      <c r="A6" s="5" t="s">
        <v>43</v>
      </c>
      <c r="B6" s="5" t="s">
        <v>44</v>
      </c>
      <c r="C6" s="6" t="n">
        <v>93848.98</v>
      </c>
      <c r="D6" s="6" t="n">
        <v>16627.8</v>
      </c>
      <c r="E6" s="7" t="n">
        <f aca="false">C6+D6</f>
        <v>110476.78</v>
      </c>
    </row>
    <row r="7" customFormat="false" ht="15" hidden="false" customHeight="true" outlineLevel="0" collapsed="false">
      <c r="A7" s="5" t="s">
        <v>45</v>
      </c>
      <c r="B7" s="5" t="s">
        <v>46</v>
      </c>
      <c r="C7" s="6" t="n">
        <v>42499.98</v>
      </c>
      <c r="D7" s="6" t="n">
        <v>9731.65</v>
      </c>
      <c r="E7" s="7" t="n">
        <f aca="false">C7+D7</f>
        <v>52231.63</v>
      </c>
    </row>
    <row r="8" customFormat="false" ht="15" hidden="false" customHeight="true" outlineLevel="0" collapsed="false">
      <c r="A8" s="5" t="s">
        <v>47</v>
      </c>
      <c r="B8" s="5" t="s">
        <v>48</v>
      </c>
      <c r="C8" s="6" t="n">
        <v>65916.17</v>
      </c>
      <c r="D8" s="6" t="n">
        <v>7454.76</v>
      </c>
      <c r="E8" s="7" t="n">
        <f aca="false">C8+D8</f>
        <v>73370.93</v>
      </c>
    </row>
    <row r="9" customFormat="false" ht="15" hidden="false" customHeight="true" outlineLevel="0" collapsed="false">
      <c r="A9" s="5" t="s">
        <v>49</v>
      </c>
      <c r="B9" s="5" t="s">
        <v>50</v>
      </c>
      <c r="C9" s="6" t="n">
        <v>49999.98</v>
      </c>
      <c r="D9" s="6" t="n">
        <v>10877.38</v>
      </c>
      <c r="E9" s="7" t="n">
        <f aca="false">C9+D9</f>
        <v>60877.36</v>
      </c>
    </row>
    <row r="10" customFormat="false" ht="15" hidden="false" customHeight="true" outlineLevel="0" collapsed="false">
      <c r="A10" s="5" t="s">
        <v>51</v>
      </c>
      <c r="B10" s="5" t="s">
        <v>52</v>
      </c>
      <c r="C10" s="6" t="n">
        <v>17307.68</v>
      </c>
      <c r="D10" s="6" t="n">
        <v>4074.71</v>
      </c>
      <c r="E10" s="7" t="n">
        <f aca="false">C10+D10</f>
        <v>21382.39</v>
      </c>
    </row>
    <row r="11" customFormat="false" ht="15" hidden="false" customHeight="true" outlineLevel="0" collapsed="false">
      <c r="A11" s="5" t="s">
        <v>54</v>
      </c>
      <c r="B11" s="5" t="s">
        <v>55</v>
      </c>
      <c r="C11" s="6" t="n">
        <v>20833.34</v>
      </c>
      <c r="D11" s="6" t="n">
        <v>2875.71</v>
      </c>
      <c r="E11" s="7" t="n">
        <f aca="false">C11+D11</f>
        <v>23709.05</v>
      </c>
    </row>
    <row r="12" customFormat="false" ht="15" hidden="false" customHeight="true" outlineLevel="0" collapsed="false">
      <c r="A12" s="10"/>
      <c r="B12" s="9" t="s">
        <v>62</v>
      </c>
      <c r="C12" s="11" t="n">
        <f aca="false">SUM(C4:C11)</f>
        <v>311023.55</v>
      </c>
      <c r="D12" s="11" t="n">
        <f aca="false">SUM(D4:D11)</f>
        <v>55319.09</v>
      </c>
      <c r="E12" s="11" t="n">
        <f aca="false">SUM(E4:E11)</f>
        <v>366342.64</v>
      </c>
    </row>
    <row r="14" customFormat="false" ht="15" hidden="false" customHeight="true" outlineLevel="0" collapsed="false">
      <c r="B14" s="12" t="s">
        <v>63</v>
      </c>
      <c r="C14" s="15" t="n">
        <v>366342.64</v>
      </c>
      <c r="D14" s="16" t="str">
        <f aca="false">IF(ABS(E12-C14)&lt;0.05,"✓ תואם","✗ אינו תואם")</f>
        <v>✓ תואם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9" min="7" style="0" width="18"/>
  </cols>
  <sheetData>
    <row r="1" customFormat="false" ht="17.15" hidden="false" customHeight="false" outlineLevel="0" collapsed="false">
      <c r="A1" s="2" t="s">
        <v>64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65</v>
      </c>
      <c r="B3" s="3" t="s">
        <v>66</v>
      </c>
      <c r="C3" s="3" t="s">
        <v>67</v>
      </c>
      <c r="D3" s="3" t="s">
        <v>68</v>
      </c>
      <c r="E3" s="3" t="s">
        <v>69</v>
      </c>
      <c r="F3" s="3" t="s">
        <v>70</v>
      </c>
      <c r="G3" s="3" t="s">
        <v>71</v>
      </c>
      <c r="H3" s="3" t="s">
        <v>72</v>
      </c>
      <c r="I3" s="3" t="s">
        <v>73</v>
      </c>
    </row>
    <row r="4" customFormat="false" ht="15" hidden="false" customHeight="false" outlineLevel="0" collapsed="false">
      <c r="A4" s="17" t="s">
        <v>74</v>
      </c>
      <c r="B4" s="18" t="s">
        <v>13</v>
      </c>
      <c r="C4" s="18" t="s">
        <v>20</v>
      </c>
      <c r="D4" s="17"/>
      <c r="E4" s="19" t="s">
        <v>3</v>
      </c>
      <c r="F4" s="18" t="s">
        <v>22</v>
      </c>
      <c r="G4" s="20" t="n">
        <v>91467.24</v>
      </c>
      <c r="H4" s="20" t="n">
        <v>91467.24</v>
      </c>
      <c r="I4" s="20" t="n">
        <v>0</v>
      </c>
    </row>
    <row r="5" customFormat="false" ht="15" hidden="false" customHeight="false" outlineLevel="0" collapsed="false">
      <c r="A5" s="17" t="s">
        <v>74</v>
      </c>
      <c r="B5" s="18" t="s">
        <v>14</v>
      </c>
      <c r="C5" s="18" t="s">
        <v>20</v>
      </c>
      <c r="D5" s="17"/>
      <c r="E5" s="19" t="s">
        <v>75</v>
      </c>
      <c r="F5" s="18" t="s">
        <v>22</v>
      </c>
      <c r="G5" s="20" t="n">
        <v>669</v>
      </c>
      <c r="H5" s="20" t="n">
        <v>669</v>
      </c>
      <c r="I5" s="20" t="n">
        <v>0</v>
      </c>
    </row>
    <row r="6" customFormat="false" ht="15" hidden="false" customHeight="false" outlineLevel="0" collapsed="false">
      <c r="A6" s="17" t="s">
        <v>74</v>
      </c>
      <c r="B6" s="18" t="s">
        <v>15</v>
      </c>
      <c r="C6" s="18" t="s">
        <v>20</v>
      </c>
      <c r="D6" s="17"/>
      <c r="E6" s="19" t="s">
        <v>76</v>
      </c>
      <c r="F6" s="18" t="s">
        <v>22</v>
      </c>
      <c r="G6" s="20" t="n">
        <v>11212.84</v>
      </c>
      <c r="H6" s="20" t="n">
        <v>11212.84</v>
      </c>
      <c r="I6" s="20" t="n">
        <v>0</v>
      </c>
    </row>
    <row r="7" customFormat="false" ht="15" hidden="false" customHeight="false" outlineLevel="0" collapsed="false">
      <c r="A7" s="17" t="s">
        <v>74</v>
      </c>
      <c r="B7" s="18" t="s">
        <v>16</v>
      </c>
      <c r="C7" s="18" t="s">
        <v>20</v>
      </c>
      <c r="D7" s="17"/>
      <c r="E7" s="19" t="s">
        <v>77</v>
      </c>
      <c r="F7" s="18" t="s">
        <v>22</v>
      </c>
      <c r="G7" s="20" t="n">
        <v>192.06</v>
      </c>
      <c r="H7" s="20" t="n">
        <v>192.06</v>
      </c>
      <c r="I7" s="20" t="n">
        <v>0</v>
      </c>
    </row>
    <row r="8" customFormat="false" ht="15" hidden="false" customHeight="false" outlineLevel="0" collapsed="false">
      <c r="A8" s="17" t="s">
        <v>74</v>
      </c>
      <c r="B8" s="18" t="s">
        <v>17</v>
      </c>
      <c r="C8" s="18" t="s">
        <v>20</v>
      </c>
      <c r="D8" s="17"/>
      <c r="E8" s="19" t="s">
        <v>78</v>
      </c>
      <c r="F8" s="18" t="s">
        <v>22</v>
      </c>
      <c r="G8" s="20" t="n">
        <v>4366.22</v>
      </c>
      <c r="H8" s="20" t="n">
        <v>4366.22</v>
      </c>
      <c r="I8" s="20" t="n">
        <v>0</v>
      </c>
    </row>
    <row r="9" customFormat="false" ht="15" hidden="false" customHeight="false" outlineLevel="0" collapsed="false">
      <c r="A9" s="17" t="s">
        <v>74</v>
      </c>
      <c r="B9" s="18" t="s">
        <v>18</v>
      </c>
      <c r="C9" s="18" t="s">
        <v>20</v>
      </c>
      <c r="D9" s="17"/>
      <c r="E9" s="19" t="s">
        <v>79</v>
      </c>
      <c r="F9" s="18" t="s">
        <v>22</v>
      </c>
      <c r="G9" s="20" t="n">
        <v>435</v>
      </c>
      <c r="H9" s="20" t="n">
        <v>435</v>
      </c>
      <c r="I9" s="20" t="n">
        <v>0</v>
      </c>
    </row>
    <row r="10" customFormat="false" ht="15" hidden="false" customHeight="false" outlineLevel="0" collapsed="false">
      <c r="A10" s="17" t="s">
        <v>74</v>
      </c>
      <c r="B10" s="18" t="s">
        <v>80</v>
      </c>
      <c r="C10" s="18" t="s">
        <v>20</v>
      </c>
      <c r="D10" s="17"/>
      <c r="E10" s="19" t="s">
        <v>81</v>
      </c>
      <c r="F10" s="18" t="s">
        <v>22</v>
      </c>
      <c r="G10" s="20" t="n">
        <v>743.92</v>
      </c>
      <c r="H10" s="20" t="n">
        <v>743.92</v>
      </c>
      <c r="I10" s="20" t="n">
        <v>0</v>
      </c>
    </row>
    <row r="11" customFormat="false" ht="15" hidden="false" customHeight="false" outlineLevel="0" collapsed="false">
      <c r="A11" s="17" t="s">
        <v>74</v>
      </c>
      <c r="B11" s="18" t="s">
        <v>82</v>
      </c>
      <c r="C11" s="18" t="s">
        <v>20</v>
      </c>
      <c r="D11" s="17"/>
      <c r="E11" s="19" t="s">
        <v>83</v>
      </c>
      <c r="F11" s="18" t="s">
        <v>22</v>
      </c>
      <c r="G11" s="20" t="n">
        <v>99</v>
      </c>
      <c r="H11" s="20" t="n">
        <v>99</v>
      </c>
      <c r="I11" s="20" t="n">
        <v>0</v>
      </c>
    </row>
    <row r="12" customFormat="false" ht="15" hidden="false" customHeight="false" outlineLevel="0" collapsed="false">
      <c r="A12" s="21" t="s">
        <v>74</v>
      </c>
      <c r="B12" s="22"/>
      <c r="C12" s="22"/>
      <c r="D12" s="22"/>
      <c r="E12" s="21" t="s">
        <v>84</v>
      </c>
      <c r="F12" s="23" t="s">
        <v>22</v>
      </c>
      <c r="G12" s="24" t="n">
        <f aca="false">SUM(G4:G11)</f>
        <v>109185.28</v>
      </c>
      <c r="H12" s="24" t="n">
        <f aca="false">SUM(H4:H11)</f>
        <v>109185.28</v>
      </c>
      <c r="I12" s="24" t="n">
        <v>0</v>
      </c>
    </row>
    <row r="14" customFormat="false" ht="15" hidden="false" customHeight="false" outlineLevel="0" collapsed="false">
      <c r="A14" s="17" t="s">
        <v>85</v>
      </c>
      <c r="B14" s="18" t="s">
        <v>13</v>
      </c>
      <c r="C14" s="18" t="s">
        <v>20</v>
      </c>
      <c r="D14" s="17"/>
      <c r="E14" s="19" t="s">
        <v>3</v>
      </c>
      <c r="F14" s="18" t="s">
        <v>24</v>
      </c>
      <c r="G14" s="20" t="n">
        <v>37291.66</v>
      </c>
      <c r="H14" s="20" t="n">
        <v>37291.66</v>
      </c>
      <c r="I14" s="20" t="n">
        <v>0</v>
      </c>
    </row>
    <row r="15" customFormat="false" ht="15" hidden="false" customHeight="false" outlineLevel="0" collapsed="false">
      <c r="A15" s="17" t="s">
        <v>85</v>
      </c>
      <c r="B15" s="18" t="s">
        <v>14</v>
      </c>
      <c r="C15" s="18" t="s">
        <v>20</v>
      </c>
      <c r="D15" s="17"/>
      <c r="E15" s="19" t="s">
        <v>75</v>
      </c>
      <c r="F15" s="18" t="s">
        <v>24</v>
      </c>
      <c r="G15" s="20" t="n">
        <v>1610</v>
      </c>
      <c r="H15" s="20" t="n">
        <v>1610</v>
      </c>
      <c r="I15" s="20" t="n">
        <v>0</v>
      </c>
    </row>
    <row r="16" customFormat="false" ht="15" hidden="false" customHeight="false" outlineLevel="0" collapsed="false">
      <c r="A16" s="17" t="s">
        <v>85</v>
      </c>
      <c r="B16" s="18" t="s">
        <v>15</v>
      </c>
      <c r="C16" s="18" t="s">
        <v>20</v>
      </c>
      <c r="D16" s="17"/>
      <c r="E16" s="19" t="s">
        <v>76</v>
      </c>
      <c r="F16" s="18" t="s">
        <v>24</v>
      </c>
      <c r="G16" s="20" t="n">
        <v>4218.02</v>
      </c>
      <c r="H16" s="20" t="n">
        <v>4218.02</v>
      </c>
      <c r="I16" s="20" t="n">
        <v>0</v>
      </c>
    </row>
    <row r="17" customFormat="false" ht="15" hidden="false" customHeight="false" outlineLevel="0" collapsed="false">
      <c r="A17" s="17" t="s">
        <v>85</v>
      </c>
      <c r="B17" s="18" t="s">
        <v>16</v>
      </c>
      <c r="C17" s="18" t="s">
        <v>20</v>
      </c>
      <c r="D17" s="17"/>
      <c r="E17" s="19" t="s">
        <v>77</v>
      </c>
      <c r="F17" s="18" t="s">
        <v>24</v>
      </c>
      <c r="G17" s="20" t="n">
        <v>56.41</v>
      </c>
      <c r="H17" s="20" t="n">
        <v>56.41</v>
      </c>
      <c r="I17" s="20" t="n">
        <v>0</v>
      </c>
    </row>
    <row r="18" customFormat="false" ht="15" hidden="false" customHeight="false" outlineLevel="0" collapsed="false">
      <c r="A18" s="17" t="s">
        <v>85</v>
      </c>
      <c r="B18" s="18" t="s">
        <v>17</v>
      </c>
      <c r="C18" s="18" t="s">
        <v>20</v>
      </c>
      <c r="D18" s="17"/>
      <c r="E18" s="19" t="s">
        <v>78</v>
      </c>
      <c r="F18" s="18" t="s">
        <v>24</v>
      </c>
      <c r="G18" s="20" t="n">
        <v>2044.22</v>
      </c>
      <c r="H18" s="20" t="n">
        <v>2044.22</v>
      </c>
      <c r="I18" s="20" t="n">
        <v>0</v>
      </c>
    </row>
    <row r="19" customFormat="false" ht="15" hidden="false" customHeight="false" outlineLevel="0" collapsed="false">
      <c r="A19" s="17" t="s">
        <v>85</v>
      </c>
      <c r="B19" s="18" t="s">
        <v>18</v>
      </c>
      <c r="C19" s="18" t="s">
        <v>20</v>
      </c>
      <c r="D19" s="17"/>
      <c r="E19" s="19" t="s">
        <v>79</v>
      </c>
      <c r="F19" s="18" t="s">
        <v>24</v>
      </c>
      <c r="G19" s="20" t="n">
        <v>290</v>
      </c>
      <c r="H19" s="20" t="n">
        <v>290</v>
      </c>
      <c r="I19" s="20" t="n">
        <v>0</v>
      </c>
    </row>
    <row r="20" customFormat="false" ht="15" hidden="false" customHeight="false" outlineLevel="0" collapsed="false">
      <c r="A20" s="17" t="s">
        <v>85</v>
      </c>
      <c r="B20" s="18" t="s">
        <v>80</v>
      </c>
      <c r="C20" s="18" t="s">
        <v>20</v>
      </c>
      <c r="D20" s="17"/>
      <c r="E20" s="19" t="s">
        <v>81</v>
      </c>
      <c r="F20" s="18" t="s">
        <v>24</v>
      </c>
      <c r="G20" s="20" t="n">
        <v>616.66</v>
      </c>
      <c r="H20" s="20" t="n">
        <v>616.66</v>
      </c>
      <c r="I20" s="20" t="n">
        <v>0</v>
      </c>
    </row>
    <row r="21" customFormat="false" ht="15" hidden="false" customHeight="false" outlineLevel="0" collapsed="false">
      <c r="A21" s="21" t="s">
        <v>85</v>
      </c>
      <c r="B21" s="22"/>
      <c r="C21" s="22"/>
      <c r="D21" s="22"/>
      <c r="E21" s="21" t="s">
        <v>86</v>
      </c>
      <c r="F21" s="23" t="s">
        <v>24</v>
      </c>
      <c r="G21" s="24" t="n">
        <f aca="false">SUM(G14:G20)</f>
        <v>46126.97</v>
      </c>
      <c r="H21" s="24" t="n">
        <f aca="false">SUM(H14:H20)</f>
        <v>46126.97</v>
      </c>
      <c r="I21" s="24" t="n">
        <v>0</v>
      </c>
    </row>
    <row r="23" customFormat="false" ht="15" hidden="false" customHeight="false" outlineLevel="0" collapsed="false">
      <c r="A23" s="17" t="s">
        <v>87</v>
      </c>
      <c r="B23" s="18" t="s">
        <v>13</v>
      </c>
      <c r="C23" s="18" t="s">
        <v>20</v>
      </c>
      <c r="D23" s="17"/>
      <c r="E23" s="19" t="s">
        <v>3</v>
      </c>
      <c r="F23" s="18" t="s">
        <v>26</v>
      </c>
      <c r="G23" s="20" t="n">
        <v>37291.66</v>
      </c>
      <c r="H23" s="20" t="n">
        <v>37291.66</v>
      </c>
      <c r="I23" s="20" t="n">
        <v>0</v>
      </c>
    </row>
    <row r="24" customFormat="false" ht="15" hidden="false" customHeight="false" outlineLevel="0" collapsed="false">
      <c r="A24" s="17" t="s">
        <v>87</v>
      </c>
      <c r="B24" s="18" t="s">
        <v>14</v>
      </c>
      <c r="C24" s="18" t="s">
        <v>20</v>
      </c>
      <c r="D24" s="17"/>
      <c r="E24" s="19" t="s">
        <v>75</v>
      </c>
      <c r="F24" s="18" t="s">
        <v>26</v>
      </c>
      <c r="G24" s="20" t="n">
        <v>99</v>
      </c>
      <c r="H24" s="20" t="n">
        <v>99</v>
      </c>
      <c r="I24" s="20" t="n">
        <v>0</v>
      </c>
    </row>
    <row r="25" customFormat="false" ht="15" hidden="false" customHeight="false" outlineLevel="0" collapsed="false">
      <c r="A25" s="17" t="s">
        <v>87</v>
      </c>
      <c r="B25" s="18" t="s">
        <v>15</v>
      </c>
      <c r="C25" s="18" t="s">
        <v>20</v>
      </c>
      <c r="D25" s="17"/>
      <c r="E25" s="19" t="s">
        <v>76</v>
      </c>
      <c r="F25" s="18" t="s">
        <v>26</v>
      </c>
      <c r="G25" s="20" t="n">
        <v>3096.95</v>
      </c>
      <c r="H25" s="20" t="n">
        <v>3096.95</v>
      </c>
      <c r="I25" s="20" t="n">
        <v>0</v>
      </c>
    </row>
    <row r="26" customFormat="false" ht="15" hidden="false" customHeight="false" outlineLevel="0" collapsed="false">
      <c r="A26" s="17" t="s">
        <v>87</v>
      </c>
      <c r="B26" s="18" t="s">
        <v>16</v>
      </c>
      <c r="C26" s="18" t="s">
        <v>20</v>
      </c>
      <c r="D26" s="17"/>
      <c r="E26" s="19" t="s">
        <v>77</v>
      </c>
      <c r="F26" s="18" t="s">
        <v>26</v>
      </c>
      <c r="G26" s="20" t="n">
        <v>56.41</v>
      </c>
      <c r="H26" s="20" t="n">
        <v>56.41</v>
      </c>
      <c r="I26" s="20" t="n">
        <v>0</v>
      </c>
    </row>
    <row r="27" customFormat="false" ht="15" hidden="false" customHeight="false" outlineLevel="0" collapsed="false">
      <c r="A27" s="17" t="s">
        <v>87</v>
      </c>
      <c r="B27" s="18" t="s">
        <v>17</v>
      </c>
      <c r="C27" s="18" t="s">
        <v>20</v>
      </c>
      <c r="D27" s="17"/>
      <c r="E27" s="19" t="s">
        <v>78</v>
      </c>
      <c r="F27" s="18" t="s">
        <v>26</v>
      </c>
      <c r="G27" s="20" t="n">
        <v>2044.22</v>
      </c>
      <c r="H27" s="20" t="n">
        <v>2044.22</v>
      </c>
      <c r="I27" s="20" t="n">
        <v>0</v>
      </c>
    </row>
    <row r="28" customFormat="false" ht="15" hidden="false" customHeight="false" outlineLevel="0" collapsed="false">
      <c r="A28" s="17" t="s">
        <v>87</v>
      </c>
      <c r="B28" s="18" t="s">
        <v>18</v>
      </c>
      <c r="C28" s="18" t="s">
        <v>20</v>
      </c>
      <c r="D28" s="17"/>
      <c r="E28" s="19" t="s">
        <v>79</v>
      </c>
      <c r="F28" s="18" t="s">
        <v>26</v>
      </c>
      <c r="G28" s="20" t="n">
        <v>290</v>
      </c>
      <c r="H28" s="20" t="n">
        <v>290</v>
      </c>
      <c r="I28" s="20" t="n">
        <v>0</v>
      </c>
    </row>
    <row r="29" customFormat="false" ht="15" hidden="false" customHeight="false" outlineLevel="0" collapsed="false">
      <c r="A29" s="17" t="s">
        <v>87</v>
      </c>
      <c r="B29" s="18" t="s">
        <v>80</v>
      </c>
      <c r="C29" s="18" t="s">
        <v>20</v>
      </c>
      <c r="D29" s="17"/>
      <c r="E29" s="19" t="s">
        <v>81</v>
      </c>
      <c r="F29" s="18" t="s">
        <v>26</v>
      </c>
      <c r="G29" s="20" t="n">
        <v>1272.91</v>
      </c>
      <c r="H29" s="20" t="n">
        <v>1272.91</v>
      </c>
      <c r="I29" s="20" t="n">
        <v>0</v>
      </c>
    </row>
    <row r="30" customFormat="false" ht="15" hidden="false" customHeight="false" outlineLevel="0" collapsed="false">
      <c r="A30" s="21" t="s">
        <v>87</v>
      </c>
      <c r="B30" s="22"/>
      <c r="C30" s="22"/>
      <c r="D30" s="22"/>
      <c r="E30" s="21" t="s">
        <v>88</v>
      </c>
      <c r="F30" s="23" t="s">
        <v>26</v>
      </c>
      <c r="G30" s="24" t="n">
        <f aca="false">SUM(G23:G29)</f>
        <v>44151.15</v>
      </c>
      <c r="H30" s="24" t="n">
        <f aca="false">SUM(H23:H29)</f>
        <v>44151.15</v>
      </c>
      <c r="I30" s="24" t="n">
        <v>0</v>
      </c>
    </row>
    <row r="32" customFormat="false" ht="15" hidden="false" customHeight="false" outlineLevel="0" collapsed="false">
      <c r="A32" s="17" t="s">
        <v>89</v>
      </c>
      <c r="B32" s="18" t="s">
        <v>13</v>
      </c>
      <c r="C32" s="18" t="s">
        <v>20</v>
      </c>
      <c r="D32" s="17"/>
      <c r="E32" s="19" t="s">
        <v>3</v>
      </c>
      <c r="F32" s="18" t="s">
        <v>28</v>
      </c>
      <c r="G32" s="20" t="n">
        <v>37291.66</v>
      </c>
      <c r="H32" s="20" t="n">
        <v>37291.66</v>
      </c>
      <c r="I32" s="20" t="n">
        <v>0</v>
      </c>
    </row>
    <row r="33" customFormat="false" ht="15" hidden="false" customHeight="false" outlineLevel="0" collapsed="false">
      <c r="A33" s="17" t="s">
        <v>89</v>
      </c>
      <c r="B33" s="18" t="s">
        <v>14</v>
      </c>
      <c r="C33" s="18" t="s">
        <v>20</v>
      </c>
      <c r="D33" s="17"/>
      <c r="E33" s="19" t="s">
        <v>75</v>
      </c>
      <c r="F33" s="18" t="s">
        <v>28</v>
      </c>
      <c r="G33" s="20" t="n">
        <v>1610</v>
      </c>
      <c r="H33" s="20" t="n">
        <v>1610</v>
      </c>
      <c r="I33" s="20" t="n">
        <v>0</v>
      </c>
    </row>
    <row r="34" customFormat="false" ht="15" hidden="false" customHeight="false" outlineLevel="0" collapsed="false">
      <c r="A34" s="17" t="s">
        <v>89</v>
      </c>
      <c r="B34" s="18" t="s">
        <v>15</v>
      </c>
      <c r="C34" s="18" t="s">
        <v>20</v>
      </c>
      <c r="D34" s="17"/>
      <c r="E34" s="19" t="s">
        <v>76</v>
      </c>
      <c r="F34" s="18" t="s">
        <v>28</v>
      </c>
      <c r="G34" s="20" t="n">
        <v>3075.9</v>
      </c>
      <c r="H34" s="20" t="n">
        <v>3075.9</v>
      </c>
      <c r="I34" s="20" t="n">
        <v>0</v>
      </c>
    </row>
    <row r="35" customFormat="false" ht="15" hidden="false" customHeight="false" outlineLevel="0" collapsed="false">
      <c r="A35" s="17" t="s">
        <v>89</v>
      </c>
      <c r="B35" s="18" t="s">
        <v>16</v>
      </c>
      <c r="C35" s="18" t="s">
        <v>20</v>
      </c>
      <c r="D35" s="17"/>
      <c r="E35" s="19" t="s">
        <v>77</v>
      </c>
      <c r="F35" s="18" t="s">
        <v>28</v>
      </c>
      <c r="G35" s="20" t="n">
        <v>56.41</v>
      </c>
      <c r="H35" s="20" t="n">
        <v>56.41</v>
      </c>
      <c r="I35" s="20" t="n">
        <v>0</v>
      </c>
    </row>
    <row r="36" customFormat="false" ht="15" hidden="false" customHeight="false" outlineLevel="0" collapsed="false">
      <c r="A36" s="17" t="s">
        <v>89</v>
      </c>
      <c r="B36" s="18" t="s">
        <v>17</v>
      </c>
      <c r="C36" s="18" t="s">
        <v>20</v>
      </c>
      <c r="D36" s="17"/>
      <c r="E36" s="19" t="s">
        <v>78</v>
      </c>
      <c r="F36" s="18" t="s">
        <v>28</v>
      </c>
      <c r="G36" s="20" t="n">
        <v>2044.22</v>
      </c>
      <c r="H36" s="20" t="n">
        <v>2044.22</v>
      </c>
      <c r="I36" s="20" t="n">
        <v>0</v>
      </c>
    </row>
    <row r="37" customFormat="false" ht="15" hidden="false" customHeight="false" outlineLevel="0" collapsed="false">
      <c r="A37" s="17" t="s">
        <v>89</v>
      </c>
      <c r="B37" s="18" t="s">
        <v>18</v>
      </c>
      <c r="C37" s="18" t="s">
        <v>20</v>
      </c>
      <c r="D37" s="17"/>
      <c r="E37" s="19" t="s">
        <v>79</v>
      </c>
      <c r="F37" s="18" t="s">
        <v>28</v>
      </c>
      <c r="G37" s="20" t="n">
        <v>290</v>
      </c>
      <c r="H37" s="20" t="n">
        <v>290</v>
      </c>
      <c r="I37" s="20" t="n">
        <v>0</v>
      </c>
    </row>
    <row r="38" customFormat="false" ht="15" hidden="false" customHeight="false" outlineLevel="0" collapsed="false">
      <c r="A38" s="17" t="s">
        <v>89</v>
      </c>
      <c r="B38" s="18" t="s">
        <v>80</v>
      </c>
      <c r="C38" s="18" t="s">
        <v>20</v>
      </c>
      <c r="D38" s="17"/>
      <c r="E38" s="19" t="s">
        <v>81</v>
      </c>
      <c r="F38" s="18" t="s">
        <v>28</v>
      </c>
      <c r="G38" s="20" t="n">
        <v>1272.91</v>
      </c>
      <c r="H38" s="20" t="n">
        <v>1272.91</v>
      </c>
      <c r="I38" s="20" t="n">
        <v>0</v>
      </c>
    </row>
    <row r="39" customFormat="false" ht="15" hidden="false" customHeight="false" outlineLevel="0" collapsed="false">
      <c r="A39" s="21" t="s">
        <v>89</v>
      </c>
      <c r="B39" s="22"/>
      <c r="C39" s="22"/>
      <c r="D39" s="22"/>
      <c r="E39" s="21" t="s">
        <v>90</v>
      </c>
      <c r="F39" s="23" t="s">
        <v>28</v>
      </c>
      <c r="G39" s="24" t="n">
        <f aca="false">SUM(G32:G38)</f>
        <v>45641.1</v>
      </c>
      <c r="H39" s="24" t="n">
        <f aca="false">SUM(H32:H38)</f>
        <v>45641.1</v>
      </c>
      <c r="I39" s="24" t="n">
        <v>0</v>
      </c>
    </row>
    <row r="41" customFormat="false" ht="15" hidden="false" customHeight="false" outlineLevel="0" collapsed="false">
      <c r="A41" s="17" t="s">
        <v>91</v>
      </c>
      <c r="B41" s="18" t="s">
        <v>13</v>
      </c>
      <c r="C41" s="18" t="s">
        <v>20</v>
      </c>
      <c r="D41" s="17"/>
      <c r="E41" s="19" t="s">
        <v>3</v>
      </c>
      <c r="F41" s="18" t="s">
        <v>30</v>
      </c>
      <c r="G41" s="20" t="n">
        <v>47708.33</v>
      </c>
      <c r="H41" s="20" t="n">
        <v>47708.33</v>
      </c>
      <c r="I41" s="20" t="n">
        <v>0</v>
      </c>
    </row>
    <row r="42" customFormat="false" ht="15" hidden="false" customHeight="false" outlineLevel="0" collapsed="false">
      <c r="A42" s="17" t="s">
        <v>91</v>
      </c>
      <c r="B42" s="18" t="s">
        <v>15</v>
      </c>
      <c r="C42" s="18" t="s">
        <v>20</v>
      </c>
      <c r="D42" s="17"/>
      <c r="E42" s="19" t="s">
        <v>76</v>
      </c>
      <c r="F42" s="18" t="s">
        <v>30</v>
      </c>
      <c r="G42" s="20" t="n">
        <v>4476.75</v>
      </c>
      <c r="H42" s="20" t="n">
        <v>4476.75</v>
      </c>
      <c r="I42" s="20" t="n">
        <v>0</v>
      </c>
    </row>
    <row r="43" customFormat="false" ht="15" hidden="false" customHeight="false" outlineLevel="0" collapsed="false">
      <c r="A43" s="17" t="s">
        <v>91</v>
      </c>
      <c r="B43" s="18" t="s">
        <v>16</v>
      </c>
      <c r="C43" s="18" t="s">
        <v>20</v>
      </c>
      <c r="D43" s="17"/>
      <c r="E43" s="19" t="s">
        <v>77</v>
      </c>
      <c r="F43" s="18" t="s">
        <v>30</v>
      </c>
      <c r="G43" s="20" t="n">
        <v>94.37</v>
      </c>
      <c r="H43" s="20" t="n">
        <v>94.37</v>
      </c>
      <c r="I43" s="20" t="n">
        <v>0</v>
      </c>
    </row>
    <row r="44" customFormat="false" ht="15" hidden="false" customHeight="false" outlineLevel="0" collapsed="false">
      <c r="A44" s="17" t="s">
        <v>91</v>
      </c>
      <c r="B44" s="18" t="s">
        <v>17</v>
      </c>
      <c r="C44" s="18" t="s">
        <v>20</v>
      </c>
      <c r="D44" s="17"/>
      <c r="E44" s="19" t="s">
        <v>78</v>
      </c>
      <c r="F44" s="18" t="s">
        <v>30</v>
      </c>
      <c r="G44" s="20" t="n">
        <v>2044.22</v>
      </c>
      <c r="H44" s="20" t="n">
        <v>2044.22</v>
      </c>
      <c r="I44" s="20" t="n">
        <v>0</v>
      </c>
    </row>
    <row r="45" customFormat="false" ht="15" hidden="false" customHeight="false" outlineLevel="0" collapsed="false">
      <c r="A45" s="17" t="s">
        <v>91</v>
      </c>
      <c r="B45" s="18" t="s">
        <v>18</v>
      </c>
      <c r="C45" s="18" t="s">
        <v>20</v>
      </c>
      <c r="D45" s="17"/>
      <c r="E45" s="19" t="s">
        <v>79</v>
      </c>
      <c r="F45" s="18" t="s">
        <v>30</v>
      </c>
      <c r="G45" s="20" t="n">
        <v>362.5</v>
      </c>
      <c r="H45" s="20" t="n">
        <v>362.5</v>
      </c>
      <c r="I45" s="20" t="n">
        <v>0</v>
      </c>
    </row>
    <row r="46" customFormat="false" ht="15" hidden="false" customHeight="false" outlineLevel="0" collapsed="false">
      <c r="A46" s="17" t="s">
        <v>91</v>
      </c>
      <c r="B46" s="18" t="s">
        <v>80</v>
      </c>
      <c r="C46" s="18" t="s">
        <v>20</v>
      </c>
      <c r="D46" s="17"/>
      <c r="E46" s="19" t="s">
        <v>81</v>
      </c>
      <c r="F46" s="18" t="s">
        <v>30</v>
      </c>
      <c r="G46" s="20" t="n">
        <v>1377.08</v>
      </c>
      <c r="H46" s="20" t="n">
        <v>1377.08</v>
      </c>
      <c r="I46" s="20" t="n">
        <v>0</v>
      </c>
    </row>
    <row r="47" customFormat="false" ht="15" hidden="false" customHeight="false" outlineLevel="0" collapsed="false">
      <c r="A47" s="17" t="s">
        <v>91</v>
      </c>
      <c r="B47" s="18" t="s">
        <v>82</v>
      </c>
      <c r="C47" s="18" t="s">
        <v>20</v>
      </c>
      <c r="D47" s="17"/>
      <c r="E47" s="19" t="s">
        <v>83</v>
      </c>
      <c r="F47" s="18" t="s">
        <v>30</v>
      </c>
      <c r="G47" s="20" t="n">
        <v>99</v>
      </c>
      <c r="H47" s="20" t="n">
        <v>99</v>
      </c>
      <c r="I47" s="20" t="n">
        <v>0</v>
      </c>
    </row>
    <row r="48" customFormat="false" ht="15" hidden="false" customHeight="false" outlineLevel="0" collapsed="false">
      <c r="A48" s="21" t="s">
        <v>91</v>
      </c>
      <c r="B48" s="22"/>
      <c r="C48" s="22"/>
      <c r="D48" s="22"/>
      <c r="E48" s="21" t="s">
        <v>92</v>
      </c>
      <c r="F48" s="23" t="s">
        <v>30</v>
      </c>
      <c r="G48" s="24" t="n">
        <f aca="false">SUM(G41:G47)</f>
        <v>56162.25</v>
      </c>
      <c r="H48" s="24" t="n">
        <f aca="false">SUM(H41:H47)</f>
        <v>56162.25</v>
      </c>
      <c r="I48" s="24" t="n">
        <v>0</v>
      </c>
    </row>
    <row r="50" customFormat="false" ht="15" hidden="false" customHeight="false" outlineLevel="0" collapsed="false">
      <c r="A50" s="17" t="s">
        <v>93</v>
      </c>
      <c r="B50" s="18" t="s">
        <v>13</v>
      </c>
      <c r="C50" s="18" t="s">
        <v>20</v>
      </c>
      <c r="D50" s="17"/>
      <c r="E50" s="19" t="s">
        <v>3</v>
      </c>
      <c r="F50" s="18" t="s">
        <v>32</v>
      </c>
      <c r="G50" s="20" t="n">
        <v>54375</v>
      </c>
      <c r="H50" s="20" t="n">
        <v>54375</v>
      </c>
      <c r="I50" s="20" t="n">
        <v>0</v>
      </c>
    </row>
    <row r="51" customFormat="false" ht="15" hidden="false" customHeight="false" outlineLevel="0" collapsed="false">
      <c r="A51" s="17" t="s">
        <v>93</v>
      </c>
      <c r="B51" s="18" t="s">
        <v>14</v>
      </c>
      <c r="C51" s="18" t="s">
        <v>20</v>
      </c>
      <c r="D51" s="17"/>
      <c r="E51" s="19" t="s">
        <v>75</v>
      </c>
      <c r="F51" s="18" t="s">
        <v>32</v>
      </c>
      <c r="G51" s="20" t="n">
        <v>1610</v>
      </c>
      <c r="H51" s="20" t="n">
        <v>1610</v>
      </c>
      <c r="I51" s="20" t="n">
        <v>0</v>
      </c>
    </row>
    <row r="52" customFormat="false" ht="15" hidden="false" customHeight="false" outlineLevel="0" collapsed="false">
      <c r="A52" s="17" t="s">
        <v>93</v>
      </c>
      <c r="B52" s="18" t="s">
        <v>15</v>
      </c>
      <c r="C52" s="18" t="s">
        <v>20</v>
      </c>
      <c r="D52" s="17"/>
      <c r="E52" s="19" t="s">
        <v>76</v>
      </c>
      <c r="F52" s="18" t="s">
        <v>32</v>
      </c>
      <c r="G52" s="20" t="n">
        <v>5019.25</v>
      </c>
      <c r="H52" s="20" t="n">
        <v>5019.25</v>
      </c>
      <c r="I52" s="20" t="n">
        <v>0</v>
      </c>
    </row>
    <row r="53" customFormat="false" ht="15" hidden="false" customHeight="false" outlineLevel="0" collapsed="false">
      <c r="A53" s="17" t="s">
        <v>93</v>
      </c>
      <c r="B53" s="18" t="s">
        <v>16</v>
      </c>
      <c r="C53" s="18" t="s">
        <v>20</v>
      </c>
      <c r="D53" s="17"/>
      <c r="E53" s="19" t="s">
        <v>77</v>
      </c>
      <c r="F53" s="18" t="s">
        <v>32</v>
      </c>
      <c r="G53" s="20" t="n">
        <v>116.34</v>
      </c>
      <c r="H53" s="20" t="n">
        <v>116.34</v>
      </c>
      <c r="I53" s="20" t="n">
        <v>0</v>
      </c>
    </row>
    <row r="54" customFormat="false" ht="15" hidden="false" customHeight="false" outlineLevel="0" collapsed="false">
      <c r="A54" s="17" t="s">
        <v>93</v>
      </c>
      <c r="B54" s="18" t="s">
        <v>17</v>
      </c>
      <c r="C54" s="18" t="s">
        <v>20</v>
      </c>
      <c r="D54" s="17"/>
      <c r="E54" s="19" t="s">
        <v>78</v>
      </c>
      <c r="F54" s="18" t="s">
        <v>32</v>
      </c>
      <c r="G54" s="20" t="n">
        <v>2044.22</v>
      </c>
      <c r="H54" s="20" t="n">
        <v>2044.22</v>
      </c>
      <c r="I54" s="20" t="n">
        <v>0</v>
      </c>
    </row>
    <row r="55" customFormat="false" ht="15" hidden="false" customHeight="false" outlineLevel="0" collapsed="false">
      <c r="A55" s="17" t="s">
        <v>93</v>
      </c>
      <c r="B55" s="18" t="s">
        <v>18</v>
      </c>
      <c r="C55" s="18" t="s">
        <v>20</v>
      </c>
      <c r="D55" s="17"/>
      <c r="E55" s="19" t="s">
        <v>79</v>
      </c>
      <c r="F55" s="18" t="s">
        <v>32</v>
      </c>
      <c r="G55" s="20" t="n">
        <v>435</v>
      </c>
      <c r="H55" s="20" t="n">
        <v>435</v>
      </c>
      <c r="I55" s="20" t="n">
        <v>0</v>
      </c>
    </row>
    <row r="56" customFormat="false" ht="15" hidden="false" customHeight="false" outlineLevel="0" collapsed="false">
      <c r="A56" s="17" t="s">
        <v>93</v>
      </c>
      <c r="B56" s="18" t="s">
        <v>80</v>
      </c>
      <c r="C56" s="18" t="s">
        <v>20</v>
      </c>
      <c r="D56" s="17"/>
      <c r="E56" s="19" t="s">
        <v>81</v>
      </c>
      <c r="F56" s="18" t="s">
        <v>32</v>
      </c>
      <c r="G56" s="20" t="n">
        <v>1377.08</v>
      </c>
      <c r="H56" s="20" t="n">
        <v>1377.08</v>
      </c>
      <c r="I56" s="20" t="n">
        <v>0</v>
      </c>
    </row>
    <row r="57" customFormat="false" ht="15" hidden="false" customHeight="false" outlineLevel="0" collapsed="false">
      <c r="A57" s="17" t="s">
        <v>93</v>
      </c>
      <c r="B57" s="18" t="s">
        <v>82</v>
      </c>
      <c r="C57" s="18" t="s">
        <v>20</v>
      </c>
      <c r="D57" s="17"/>
      <c r="E57" s="19" t="s">
        <v>83</v>
      </c>
      <c r="F57" s="18" t="s">
        <v>32</v>
      </c>
      <c r="G57" s="20" t="n">
        <v>99</v>
      </c>
      <c r="H57" s="20" t="n">
        <v>99</v>
      </c>
      <c r="I57" s="20" t="n">
        <v>0</v>
      </c>
    </row>
    <row r="58" customFormat="false" ht="15" hidden="false" customHeight="false" outlineLevel="0" collapsed="false">
      <c r="A58" s="21" t="s">
        <v>93</v>
      </c>
      <c r="B58" s="22"/>
      <c r="C58" s="22"/>
      <c r="D58" s="22"/>
      <c r="E58" s="21" t="s">
        <v>94</v>
      </c>
      <c r="F58" s="23" t="s">
        <v>32</v>
      </c>
      <c r="G58" s="24" t="n">
        <f aca="false">SUM(G50:G57)</f>
        <v>65075.89</v>
      </c>
      <c r="H58" s="24" t="n">
        <f aca="false">SUM(H50:H57)</f>
        <v>65075.89</v>
      </c>
      <c r="I58" s="24" t="n">
        <v>0</v>
      </c>
    </row>
    <row r="60" customFormat="false" ht="15" hidden="false" customHeight="false" outlineLevel="0" collapsed="false">
      <c r="E60" s="25" t="s">
        <v>95</v>
      </c>
      <c r="G60" s="26" t="n">
        <f aca="false">G12+G21+G30+G39+G48+G58</f>
        <v>366342.64</v>
      </c>
      <c r="H60" s="26" t="n">
        <f aca="false">H12+H21+H30+H39+H48+H58</f>
        <v>366342.64</v>
      </c>
    </row>
    <row r="62" customFormat="false" ht="15" hidden="false" customHeight="false" outlineLevel="0" collapsed="false">
      <c r="E62" s="27" t="s">
        <v>96</v>
      </c>
      <c r="G62" s="27" t="str">
        <f aca="false">IF(ABS(G60-H60)&lt;0.01,"✓ מאוזן","✗ לא מאוזן")</f>
        <v>✓ מאוזן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2026-03-30T07:56:04Z</dcterms:created>
  <dc:creator>openpyxl</dc:creator>
  <dc:description/>
  <dc:language>en-US</dc:language>
  <cp:lastModifiedBy/>
  <dcterms:modified xsi:type="dcterms:W3CDTF">2026-03-30T08:23:28Z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